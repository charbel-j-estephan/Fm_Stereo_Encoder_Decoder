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 list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'Buy list'!$A$1:$J$46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4">
    <font>
      <name val="Calibri"/>
      <family val="2"/>
      <color theme="1"/>
      <sz val="11"/>
      <scheme val="minor"/>
    </font>
    <font>
      <color rgb="000563C1"/>
      <u val="single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kt1.com/en/item/149" TargetMode="External" Id="rId1"/><Relationship Type="http://schemas.openxmlformats.org/officeDocument/2006/relationships/hyperlink" Target="https://ekt1.com/en/item/136" TargetMode="External" Id="rId2"/><Relationship Type="http://schemas.openxmlformats.org/officeDocument/2006/relationships/hyperlink" Target="https://ekt1.com/en/item/157" TargetMode="External" Id="rId3"/><Relationship Type="http://schemas.openxmlformats.org/officeDocument/2006/relationships/hyperlink" Target="https://ekt1.com/en/item/1492" TargetMode="External" Id="rId4"/><Relationship Type="http://schemas.openxmlformats.org/officeDocument/2006/relationships/hyperlink" Target="https://ekt1.com/en/item/4489" TargetMode="External" Id="rId5"/><Relationship Type="http://schemas.openxmlformats.org/officeDocument/2006/relationships/hyperlink" Target="https://ekt1.com/en/item/6175" TargetMode="External" Id="rId6"/><Relationship Type="http://schemas.openxmlformats.org/officeDocument/2006/relationships/hyperlink" Target="https://ekt1.com/en/item/1973" TargetMode="External" Id="rId7"/><Relationship Type="http://schemas.openxmlformats.org/officeDocument/2006/relationships/hyperlink" Target="https://ekt1.com/en/item/1975" TargetMode="External" Id="rId8"/><Relationship Type="http://schemas.openxmlformats.org/officeDocument/2006/relationships/hyperlink" Target="https://ekt1.com/en/item/1974" TargetMode="External" Id="rId9"/><Relationship Type="http://schemas.openxmlformats.org/officeDocument/2006/relationships/hyperlink" Target="https://ekt1.com/en/item/7983" TargetMode="External" Id="rId10"/><Relationship Type="http://schemas.openxmlformats.org/officeDocument/2006/relationships/hyperlink" Target="https://ekt1.com/en/item/2520" TargetMode="External" Id="rId11"/><Relationship Type="http://schemas.openxmlformats.org/officeDocument/2006/relationships/hyperlink" Target="https://ekt1.com/en/item/6386" TargetMode="External" Id="rId12"/><Relationship Type="http://schemas.openxmlformats.org/officeDocument/2006/relationships/hyperlink" Target="https://ekt1.com/en/item/2435" TargetMode="External" Id="rId13"/><Relationship Type="http://schemas.openxmlformats.org/officeDocument/2006/relationships/hyperlink" Target="https://ekt1.com/en/item/6398" TargetMode="External" Id="rId14"/><Relationship Type="http://schemas.openxmlformats.org/officeDocument/2006/relationships/hyperlink" Target="https://ekt1.com/en/item/6369" TargetMode="External" Id="rId15"/><Relationship Type="http://schemas.openxmlformats.org/officeDocument/2006/relationships/hyperlink" Target="https://ekt1.com/en/item/6411" TargetMode="External" Id="rId16"/><Relationship Type="http://schemas.openxmlformats.org/officeDocument/2006/relationships/hyperlink" Target="https://ekt1.com/en/item/6412" TargetMode="External" Id="rId17"/><Relationship Type="http://schemas.openxmlformats.org/officeDocument/2006/relationships/hyperlink" Target="https://ekt1.com/en/item/6413" TargetMode="External" Id="rId18"/><Relationship Type="http://schemas.openxmlformats.org/officeDocument/2006/relationships/hyperlink" Target="https://ekt1.com/en/item/6394" TargetMode="External" Id="rId19"/><Relationship Type="http://schemas.openxmlformats.org/officeDocument/2006/relationships/hyperlink" Target="https://ekt1.com/en/item/6414" TargetMode="External" Id="rId20"/><Relationship Type="http://schemas.openxmlformats.org/officeDocument/2006/relationships/hyperlink" Target="https://ekt1.com/en/item/6418" TargetMode="External" Id="rId21"/><Relationship Type="http://schemas.openxmlformats.org/officeDocument/2006/relationships/hyperlink" Target="https://ekt1.com/en/item/6375" TargetMode="External" Id="rId22"/><Relationship Type="http://schemas.openxmlformats.org/officeDocument/2006/relationships/hyperlink" Target="https://ekt1.com/en/item/6410" TargetMode="External" Id="rId23"/><Relationship Type="http://schemas.openxmlformats.org/officeDocument/2006/relationships/hyperlink" Target="https://ekt1.com/en/item/6422" TargetMode="External" Id="rId24"/><Relationship Type="http://schemas.openxmlformats.org/officeDocument/2006/relationships/hyperlink" Target="https://ekt1.com/en/item/6423" TargetMode="External" Id="rId25"/><Relationship Type="http://schemas.openxmlformats.org/officeDocument/2006/relationships/hyperlink" Target="https://ekt1.com/en/item/6425" TargetMode="External" Id="rId26"/><Relationship Type="http://schemas.openxmlformats.org/officeDocument/2006/relationships/hyperlink" Target="https://ekt1.com/en/item/6353" TargetMode="External" Id="rId27"/><Relationship Type="http://schemas.openxmlformats.org/officeDocument/2006/relationships/hyperlink" Target="https://ekt1.com/en/item/6352" TargetMode="External" Id="rId28"/><Relationship Type="http://schemas.openxmlformats.org/officeDocument/2006/relationships/hyperlink" Target="https://ekt1.com/en/item/211576" TargetMode="External" Id="rId29"/><Relationship Type="http://schemas.openxmlformats.org/officeDocument/2006/relationships/hyperlink" Target="https://ekt1.com/en/item/218477" TargetMode="External" Id="rId30"/><Relationship Type="http://schemas.openxmlformats.org/officeDocument/2006/relationships/hyperlink" Target="https://ekt1.com/en/item/218480" TargetMode="External" Id="rId31"/><Relationship Type="http://schemas.openxmlformats.org/officeDocument/2006/relationships/hyperlink" Target="https://ekt1.com/en/item/1965" TargetMode="External" Id="rId32"/><Relationship Type="http://schemas.openxmlformats.org/officeDocument/2006/relationships/hyperlink" Target="https://ekt1.com/en/item/1966" TargetMode="External" Id="rId33"/><Relationship Type="http://schemas.openxmlformats.org/officeDocument/2006/relationships/hyperlink" Target="https://ekt1.com/en/item/1950" TargetMode="External" Id="rId34"/><Relationship Type="http://schemas.openxmlformats.org/officeDocument/2006/relationships/hyperlink" Target="https://ekt1.com/en/item/1949" TargetMode="External" Id="rId35"/><Relationship Type="http://schemas.openxmlformats.org/officeDocument/2006/relationships/hyperlink" Target="https://ekt1.com/en/item/1948" TargetMode="External" Id="rId36"/><Relationship Type="http://schemas.openxmlformats.org/officeDocument/2006/relationships/hyperlink" Target="https://ekt1.com/en/item/2182" TargetMode="External" Id="rId37"/><Relationship Type="http://schemas.openxmlformats.org/officeDocument/2006/relationships/hyperlink" Target="https://ekt1.com/en/item/2103" TargetMode="External" Id="rId38"/><Relationship Type="http://schemas.openxmlformats.org/officeDocument/2006/relationships/hyperlink" Target="https://ekt1.com/en/item/6530" TargetMode="External" Id="rId39"/><Relationship Type="http://schemas.openxmlformats.org/officeDocument/2006/relationships/hyperlink" Target="https://ekt1.com/en/item/8332" TargetMode="External" Id="rId40"/><Relationship Type="http://schemas.openxmlformats.org/officeDocument/2006/relationships/hyperlink" Target="https://ekt1.com/en/item/8331" TargetMode="External" Id="rId41"/><Relationship Type="http://schemas.openxmlformats.org/officeDocument/2006/relationships/hyperlink" Target="https://ekt1.com/en/item/215259" TargetMode="External" Id="rId42"/><Relationship Type="http://schemas.openxmlformats.org/officeDocument/2006/relationships/hyperlink" Target="https://ekt1.com/en/item/214104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4" customWidth="1" min="6" max="6"/>
    <col width="14" customWidth="1" min="7" max="7"/>
    <col width="11" customWidth="1" min="8" max="8"/>
    <col width="42" customWidth="1" min="9" max="9"/>
    <col width="50" customWidth="1" min="10" max="10"/>
  </cols>
  <sheetData>
    <row r="1">
      <c r="A1" s="1" t="inlineStr">
        <is>
          <t>Group</t>
        </is>
      </c>
      <c r="B1" s="1" t="inlineStr">
        <is>
          <t>Part</t>
        </is>
      </c>
      <c r="C1" s="1" t="inlineStr">
        <is>
          <t>Refs</t>
        </is>
      </c>
      <c r="D1" s="1" t="inlineStr">
        <is>
          <t>Qty needed</t>
        </is>
      </c>
      <c r="E1" s="1" t="inlineStr">
        <is>
          <t>Qty to buy</t>
        </is>
      </c>
      <c r="F1" s="1" t="inlineStr">
        <is>
          <t>Unit price USD</t>
        </is>
      </c>
      <c r="G1" s="1" t="inlineStr">
        <is>
          <t>Line total USD</t>
        </is>
      </c>
      <c r="H1" s="1" t="inlineStr">
        <is>
          <t>EKT item</t>
        </is>
      </c>
      <c r="I1" s="1" t="inlineStr">
        <is>
          <t>Link</t>
        </is>
      </c>
      <c r="J1" s="1" t="inlineStr">
        <is>
          <t>Notes</t>
        </is>
      </c>
    </row>
    <row r="2">
      <c r="A2" s="2" t="inlineStr">
        <is>
          <t>ICs</t>
        </is>
      </c>
      <c r="B2" s="2" t="inlineStr">
        <is>
          <t>CD4046 PLL</t>
        </is>
      </c>
      <c r="C2" s="2" t="inlineStr">
        <is>
          <t>U11</t>
        </is>
      </c>
      <c r="D2" s="2" t="n">
        <v>1</v>
      </c>
      <c r="E2" s="2" t="n">
        <v>2</v>
      </c>
      <c r="F2" s="3" t="n">
        <v>0.6</v>
      </c>
      <c r="G2" s="3">
        <f>IF(F2="","",E2*F2)</f>
        <v/>
      </c>
      <c r="H2" s="2" t="n">
        <v>149</v>
      </c>
      <c r="I2" s="4" t="inlineStr">
        <is>
          <t>https://ekt1.com/en/item/149</t>
        </is>
      </c>
      <c r="J2" s="2" t="inlineStr"/>
    </row>
    <row r="3">
      <c r="A3" s="2" t="inlineStr">
        <is>
          <t>ICs</t>
        </is>
      </c>
      <c r="B3" s="2" t="inlineStr">
        <is>
          <t>CD4013 dual D flip flop</t>
        </is>
      </c>
      <c r="C3" s="2" t="inlineStr">
        <is>
          <t>U12</t>
        </is>
      </c>
      <c r="D3" s="2" t="n">
        <v>1</v>
      </c>
      <c r="E3" s="2" t="n">
        <v>2</v>
      </c>
      <c r="F3" s="3" t="n">
        <v>0.5</v>
      </c>
      <c r="G3" s="3">
        <f>IF(F3="","",E3*F3)</f>
        <v/>
      </c>
      <c r="H3" s="2" t="n">
        <v>136</v>
      </c>
      <c r="I3" s="4" t="inlineStr">
        <is>
          <t>https://ekt1.com/en/item/136</t>
        </is>
      </c>
      <c r="J3" s="2" t="inlineStr"/>
    </row>
    <row r="4">
      <c r="A4" s="2" t="inlineStr">
        <is>
          <t>ICs</t>
        </is>
      </c>
      <c r="B4" s="2" t="inlineStr">
        <is>
          <t>CD4069 hex inverter</t>
        </is>
      </c>
      <c r="C4" s="2" t="inlineStr">
        <is>
          <t>U13</t>
        </is>
      </c>
      <c r="D4" s="2" t="n">
        <v>1</v>
      </c>
      <c r="E4" s="2" t="n">
        <v>2</v>
      </c>
      <c r="F4" s="3" t="n">
        <v>0.5</v>
      </c>
      <c r="G4" s="3">
        <f>IF(F4="","",E4*F4)</f>
        <v/>
      </c>
      <c r="H4" s="2" t="n">
        <v>157</v>
      </c>
      <c r="I4" s="4" t="inlineStr">
        <is>
          <t>https://ekt1.com/en/item/157</t>
        </is>
      </c>
      <c r="J4" s="2" t="inlineStr"/>
    </row>
    <row r="5">
      <c r="A5" s="2" t="inlineStr">
        <is>
          <t>ICs</t>
        </is>
      </c>
      <c r="B5" s="2" t="inlineStr">
        <is>
          <t>TL072 dual op amp</t>
        </is>
      </c>
      <c r="C5" s="2" t="inlineStr">
        <is>
          <t>U1 U3 U4 U5 U6 U8</t>
        </is>
      </c>
      <c r="D5" s="2" t="n">
        <v>6</v>
      </c>
      <c r="E5" s="2" t="n">
        <v>7</v>
      </c>
      <c r="F5" s="3" t="n">
        <v>0.6</v>
      </c>
      <c r="G5" s="3">
        <f>IF(F5="","",E5*F5)</f>
        <v/>
      </c>
      <c r="H5" s="2" t="n">
        <v>1492</v>
      </c>
      <c r="I5" s="4" t="inlineStr">
        <is>
          <t>https://ekt1.com/en/item/1492</t>
        </is>
      </c>
      <c r="J5" s="2" t="inlineStr"/>
    </row>
    <row r="6">
      <c r="A6" s="2" t="inlineStr">
        <is>
          <t>ICs</t>
        </is>
      </c>
      <c r="B6" s="2" t="inlineStr">
        <is>
          <t>NE5532P dual op amp</t>
        </is>
      </c>
      <c r="C6" s="2" t="inlineStr">
        <is>
          <t>U2 U10</t>
        </is>
      </c>
      <c r="D6" s="2" t="n">
        <v>2</v>
      </c>
      <c r="E6" s="2" t="n">
        <v>3</v>
      </c>
      <c r="F6" s="3" t="n">
        <v>0.5</v>
      </c>
      <c r="G6" s="3">
        <f>IF(F6="","",E6*F6)</f>
        <v/>
      </c>
      <c r="H6" s="2" t="n">
        <v>4489</v>
      </c>
      <c r="I6" s="4" t="inlineStr">
        <is>
          <t>https://ekt1.com/en/item/4489</t>
        </is>
      </c>
      <c r="J6" s="2" t="inlineStr"/>
    </row>
    <row r="7">
      <c r="A7" s="2" t="inlineStr">
        <is>
          <t>ICs</t>
        </is>
      </c>
      <c r="B7" s="2" t="inlineStr">
        <is>
          <t>MC1496 balanced modulator</t>
        </is>
      </c>
      <c r="C7" s="2" t="inlineStr">
        <is>
          <t>U9</t>
        </is>
      </c>
      <c r="D7" s="2" t="n">
        <v>1</v>
      </c>
      <c r="E7" s="2" t="n">
        <v>2</v>
      </c>
      <c r="F7" s="3" t="n">
        <v>1.75</v>
      </c>
      <c r="G7" s="3">
        <f>IF(F7="","",E7*F7)</f>
        <v/>
      </c>
      <c r="H7" s="2" t="n">
        <v>6175</v>
      </c>
      <c r="I7" s="4" t="inlineStr">
        <is>
          <t>https://ekt1.com/en/item/6175</t>
        </is>
      </c>
      <c r="J7" s="2" t="inlineStr"/>
    </row>
    <row r="8">
      <c r="A8" s="2" t="inlineStr">
        <is>
          <t>Sockets</t>
        </is>
      </c>
      <c r="B8" s="2" t="inlineStr">
        <is>
          <t>DIP 8 socket</t>
        </is>
      </c>
      <c r="C8" s="2" t="inlineStr">
        <is>
          <t>U1 U2 U3 U4 U5 U6 U8 U10</t>
        </is>
      </c>
      <c r="D8" s="2" t="n">
        <v>8</v>
      </c>
      <c r="E8" s="2" t="n">
        <v>9</v>
      </c>
      <c r="F8" s="3" t="n">
        <v>0.08</v>
      </c>
      <c r="G8" s="3">
        <f>IF(F8="","",E8*F8)</f>
        <v/>
      </c>
      <c r="H8" s="2" t="n">
        <v>1973</v>
      </c>
      <c r="I8" s="4" t="inlineStr">
        <is>
          <t>https://ekt1.com/en/item/1973</t>
        </is>
      </c>
      <c r="J8" s="2" t="inlineStr"/>
    </row>
    <row r="9">
      <c r="A9" s="2" t="inlineStr">
        <is>
          <t>Sockets</t>
        </is>
      </c>
      <c r="B9" s="2" t="inlineStr">
        <is>
          <t>DIP 14 socket</t>
        </is>
      </c>
      <c r="C9" s="2" t="inlineStr">
        <is>
          <t>U9 U12 U13</t>
        </is>
      </c>
      <c r="D9" s="2" t="n">
        <v>3</v>
      </c>
      <c r="E9" s="2" t="n">
        <v>4</v>
      </c>
      <c r="F9" s="3" t="n">
        <v>0.1</v>
      </c>
      <c r="G9" s="3">
        <f>IF(F9="","",E9*F9)</f>
        <v/>
      </c>
      <c r="H9" s="2" t="n">
        <v>1975</v>
      </c>
      <c r="I9" s="4" t="inlineStr">
        <is>
          <t>https://ekt1.com/en/item/1975</t>
        </is>
      </c>
      <c r="J9" s="2" t="inlineStr"/>
    </row>
    <row r="10">
      <c r="A10" s="2" t="inlineStr">
        <is>
          <t>Sockets</t>
        </is>
      </c>
      <c r="B10" s="2" t="inlineStr">
        <is>
          <t>DIP 16 socket</t>
        </is>
      </c>
      <c r="C10" s="2" t="inlineStr">
        <is>
          <t>U11</t>
        </is>
      </c>
      <c r="D10" s="2" t="n">
        <v>1</v>
      </c>
      <c r="E10" s="2" t="n">
        <v>2</v>
      </c>
      <c r="F10" s="3" t="n">
        <v>0.1</v>
      </c>
      <c r="G10" s="3">
        <f>IF(F10="","",E10*F10)</f>
        <v/>
      </c>
      <c r="H10" s="2" t="n">
        <v>1974</v>
      </c>
      <c r="I10" s="4" t="inlineStr">
        <is>
          <t>https://ekt1.com/en/item/1974</t>
        </is>
      </c>
      <c r="J10" s="2" t="inlineStr"/>
    </row>
    <row r="11">
      <c r="A11" s="2" t="inlineStr">
        <is>
          <t>Diodes</t>
        </is>
      </c>
      <c r="B11" s="2" t="inlineStr">
        <is>
          <t>1N5819 Schottky</t>
        </is>
      </c>
      <c r="C11" s="2" t="inlineStr">
        <is>
          <t>D1 D2</t>
        </is>
      </c>
      <c r="D11" s="2" t="n">
        <v>2</v>
      </c>
      <c r="E11" s="2" t="n">
        <v>3</v>
      </c>
      <c r="F11" s="3" t="n">
        <v>0.15</v>
      </c>
      <c r="G11" s="3">
        <f>IF(F11="","",E11*F11)</f>
        <v/>
      </c>
      <c r="H11" s="2" t="n">
        <v>7983</v>
      </c>
      <c r="I11" s="4" t="inlineStr">
        <is>
          <t>https://ekt1.com/en/item/7983</t>
        </is>
      </c>
      <c r="J11" s="2" t="inlineStr"/>
    </row>
    <row r="12">
      <c r="A12" s="2" t="inlineStr">
        <is>
          <t>Diodes</t>
        </is>
      </c>
      <c r="B12" s="2" t="inlineStr">
        <is>
          <t>1N4148</t>
        </is>
      </c>
      <c r="C12" s="2" t="inlineStr">
        <is>
          <t>D3 D4 D5 D6</t>
        </is>
      </c>
      <c r="D12" s="2" t="n">
        <v>4</v>
      </c>
      <c r="E12" s="2" t="n">
        <v>6</v>
      </c>
      <c r="F12" s="3" t="n">
        <v>0.05</v>
      </c>
      <c r="G12" s="3">
        <f>IF(F12="","",E12*F12)</f>
        <v/>
      </c>
      <c r="H12" s="2" t="n">
        <v>2520</v>
      </c>
      <c r="I12" s="4" t="inlineStr">
        <is>
          <t>https://ekt1.com/en/item/2520</t>
        </is>
      </c>
      <c r="J12" s="2" t="inlineStr"/>
    </row>
    <row r="13">
      <c r="A13" s="2" t="inlineStr">
        <is>
          <t>Resistors</t>
        </is>
      </c>
      <c r="B13" s="2" t="inlineStr">
        <is>
          <t>51R 0.25W</t>
        </is>
      </c>
      <c r="C13" s="2" t="inlineStr">
        <is>
          <t>R31 R32</t>
        </is>
      </c>
      <c r="D13" s="2" t="n">
        <v>2</v>
      </c>
      <c r="E13" s="2" t="n">
        <v>4</v>
      </c>
      <c r="F13" s="3" t="n">
        <v>0.01</v>
      </c>
      <c r="G13" s="3">
        <f>IF(F13="","",E13*F13)</f>
        <v/>
      </c>
      <c r="H13" s="2" t="n">
        <v>6386</v>
      </c>
      <c r="I13" s="4" t="inlineStr">
        <is>
          <t>https://ekt1.com/en/item/6386</t>
        </is>
      </c>
      <c r="J13" s="2" t="inlineStr"/>
    </row>
    <row r="14">
      <c r="A14" s="2" t="inlineStr">
        <is>
          <t>Resistors</t>
        </is>
      </c>
      <c r="B14" s="2" t="inlineStr">
        <is>
          <t>1K 0.5W substitute</t>
        </is>
      </c>
      <c r="C14" s="2" t="inlineStr">
        <is>
          <t>R29 R35 R37</t>
        </is>
      </c>
      <c r="D14" s="2" t="n">
        <v>3</v>
      </c>
      <c r="E14" s="2" t="n">
        <v>5</v>
      </c>
      <c r="F14" s="3" t="n">
        <v>0.02</v>
      </c>
      <c r="G14" s="3">
        <f>IF(F14="","",E14*F14)</f>
        <v/>
      </c>
      <c r="H14" s="2" t="n">
        <v>2435</v>
      </c>
      <c r="I14" s="4" t="inlineStr">
        <is>
          <t>https://ekt1.com/en/item/2435</t>
        </is>
      </c>
      <c r="J14" s="2" t="inlineStr">
        <is>
          <t>0.25W 1K (item 6409) is out of stock</t>
        </is>
      </c>
    </row>
    <row r="15">
      <c r="A15" s="2" t="inlineStr">
        <is>
          <t>Resistors</t>
        </is>
      </c>
      <c r="B15" s="2" t="inlineStr">
        <is>
          <t>1K5 0.25W</t>
        </is>
      </c>
      <c r="C15" s="2" t="inlineStr">
        <is>
          <t>R55</t>
        </is>
      </c>
      <c r="D15" s="2" t="n">
        <v>1</v>
      </c>
      <c r="E15" s="2" t="n">
        <v>3</v>
      </c>
      <c r="F15" s="3" t="n">
        <v>0.01</v>
      </c>
      <c r="G15" s="3">
        <f>IF(F15="","",E15*F15)</f>
        <v/>
      </c>
      <c r="H15" s="2" t="n">
        <v>6398</v>
      </c>
      <c r="I15" s="4" t="inlineStr">
        <is>
          <t>https://ekt1.com/en/item/6398</t>
        </is>
      </c>
      <c r="J15" s="2" t="inlineStr"/>
    </row>
    <row r="16">
      <c r="A16" s="2" t="inlineStr">
        <is>
          <t>Resistors</t>
        </is>
      </c>
      <c r="B16" s="2" t="inlineStr">
        <is>
          <t>1K8 0.25W</t>
        </is>
      </c>
      <c r="C16" s="2" t="inlineStr">
        <is>
          <t>R7 R8</t>
        </is>
      </c>
      <c r="D16" s="2" t="n">
        <v>2</v>
      </c>
      <c r="E16" s="2" t="n">
        <v>4</v>
      </c>
      <c r="F16" s="3" t="n">
        <v>0.01</v>
      </c>
      <c r="G16" s="3">
        <f>IF(F16="","",E16*F16)</f>
        <v/>
      </c>
      <c r="H16" s="2" t="n">
        <v>6369</v>
      </c>
      <c r="I16" s="4" t="inlineStr">
        <is>
          <t>https://ekt1.com/en/item/6369</t>
        </is>
      </c>
      <c r="J16" s="2" t="inlineStr"/>
    </row>
    <row r="17">
      <c r="A17" s="2" t="inlineStr">
        <is>
          <t>Resistors</t>
        </is>
      </c>
      <c r="B17" s="2" t="inlineStr">
        <is>
          <t>2K2 0.25W</t>
        </is>
      </c>
      <c r="C17" s="2" t="inlineStr">
        <is>
          <t>R42 (and R1 R5 if you accept 2K2)</t>
        </is>
      </c>
      <c r="D17" s="2" t="n">
        <v>1</v>
      </c>
      <c r="E17" s="2" t="n">
        <v>3</v>
      </c>
      <c r="F17" s="3" t="n">
        <v>0.01</v>
      </c>
      <c r="G17" s="3">
        <f>IF(F17="","",E17*F17)</f>
        <v/>
      </c>
      <c r="H17" s="2" t="n">
        <v>6411</v>
      </c>
      <c r="I17" s="4" t="inlineStr">
        <is>
          <t>https://ekt1.com/en/item/6411</t>
        </is>
      </c>
      <c r="J17" s="2" t="inlineStr">
        <is>
          <t>EKT has no 2K4. See next row</t>
        </is>
      </c>
    </row>
    <row r="18">
      <c r="A18" s="5" t="inlineStr">
        <is>
          <t>Resistors</t>
        </is>
      </c>
      <c r="B18" s="5" t="inlineStr">
        <is>
          <t>2K4 0.25W</t>
        </is>
      </c>
      <c r="C18" s="5" t="inlineStr">
        <is>
          <t>R1 R5</t>
        </is>
      </c>
      <c r="D18" s="5" t="n">
        <v>2</v>
      </c>
      <c r="E18" s="5" t="n">
        <v>0</v>
      </c>
      <c r="F18" s="6" t="n"/>
      <c r="G18" s="6">
        <f>IF(F18="","",E18*F18)</f>
        <v/>
      </c>
      <c r="H18" s="5" t="inlineStr"/>
      <c r="I18" s="5" t="inlineStr"/>
      <c r="J18" s="5" t="inlineStr">
        <is>
          <t>Not on EKT. Use 2K2 or ask EKT. Check gain change first</t>
        </is>
      </c>
    </row>
    <row r="19">
      <c r="A19" s="2" t="inlineStr">
        <is>
          <t>Resistors</t>
        </is>
      </c>
      <c r="B19" s="2" t="inlineStr">
        <is>
          <t>3K3 0.25W</t>
        </is>
      </c>
      <c r="C19" s="2" t="inlineStr">
        <is>
          <t>R16 R18</t>
        </is>
      </c>
      <c r="D19" s="2" t="n">
        <v>2</v>
      </c>
      <c r="E19" s="2" t="n">
        <v>4</v>
      </c>
      <c r="F19" s="3" t="n">
        <v>0.01</v>
      </c>
      <c r="G19" s="3">
        <f>IF(F19="","",E19*F19)</f>
        <v/>
      </c>
      <c r="H19" s="2" t="n">
        <v>6412</v>
      </c>
      <c r="I19" s="4" t="inlineStr">
        <is>
          <t>https://ekt1.com/en/item/6412</t>
        </is>
      </c>
      <c r="J19" s="2" t="inlineStr"/>
    </row>
    <row r="20">
      <c r="A20" s="2" t="inlineStr">
        <is>
          <t>Resistors</t>
        </is>
      </c>
      <c r="B20" s="2" t="inlineStr">
        <is>
          <t>3K9 0.25W</t>
        </is>
      </c>
      <c r="C20" s="2" t="inlineStr">
        <is>
          <t>R34 R36</t>
        </is>
      </c>
      <c r="D20" s="2" t="n">
        <v>2</v>
      </c>
      <c r="E20" s="2" t="n">
        <v>4</v>
      </c>
      <c r="F20" s="3" t="n">
        <v>0.01</v>
      </c>
      <c r="G20" s="3">
        <f>IF(F20="","",E20*F20)</f>
        <v/>
      </c>
      <c r="H20" s="2" t="n">
        <v>6413</v>
      </c>
      <c r="I20" s="4" t="inlineStr">
        <is>
          <t>https://ekt1.com/en/item/6413</t>
        </is>
      </c>
      <c r="J20" s="2" t="inlineStr"/>
    </row>
    <row r="21">
      <c r="A21" s="2" t="inlineStr">
        <is>
          <t>Resistors</t>
        </is>
      </c>
      <c r="B21" s="2" t="inlineStr">
        <is>
          <t>4K7 0.25W</t>
        </is>
      </c>
      <c r="C21" s="2" t="inlineStr">
        <is>
          <t>R53</t>
        </is>
      </c>
      <c r="D21" s="2" t="n">
        <v>1</v>
      </c>
      <c r="E21" s="2" t="n">
        <v>3</v>
      </c>
      <c r="F21" s="3" t="n">
        <v>0.01</v>
      </c>
      <c r="G21" s="3">
        <f>IF(F21="","",E21*F21)</f>
        <v/>
      </c>
      <c r="H21" s="2" t="n">
        <v>6394</v>
      </c>
      <c r="I21" s="4" t="inlineStr">
        <is>
          <t>https://ekt1.com/en/item/6394</t>
        </is>
      </c>
      <c r="J21" s="2" t="inlineStr"/>
    </row>
    <row r="22">
      <c r="A22" s="2" t="inlineStr">
        <is>
          <t>Resistors</t>
        </is>
      </c>
      <c r="B22" s="2" t="inlineStr">
        <is>
          <t>6K8 0.25W</t>
        </is>
      </c>
      <c r="C22" s="2" t="inlineStr">
        <is>
          <t>R33</t>
        </is>
      </c>
      <c r="D22" s="2" t="n">
        <v>1</v>
      </c>
      <c r="E22" s="2" t="n">
        <v>3</v>
      </c>
      <c r="F22" s="3" t="n">
        <v>0.01</v>
      </c>
      <c r="G22" s="3">
        <f>IF(F22="","",E22*F22)</f>
        <v/>
      </c>
      <c r="H22" s="2" t="n">
        <v>6414</v>
      </c>
      <c r="I22" s="4" t="inlineStr">
        <is>
          <t>https://ekt1.com/en/item/6414</t>
        </is>
      </c>
      <c r="J22" s="2" t="inlineStr"/>
    </row>
    <row r="23">
      <c r="A23" s="2" t="inlineStr">
        <is>
          <t>Resistors</t>
        </is>
      </c>
      <c r="B23" s="2" t="inlineStr">
        <is>
          <t>7K5 0.25W</t>
        </is>
      </c>
      <c r="C23" s="2" t="inlineStr">
        <is>
          <t>R41</t>
        </is>
      </c>
      <c r="D23" s="2" t="n">
        <v>1</v>
      </c>
      <c r="E23" s="2" t="n">
        <v>3</v>
      </c>
      <c r="F23" s="3" t="n">
        <v>0.01</v>
      </c>
      <c r="G23" s="3">
        <f>IF(F23="","",E23*F23)</f>
        <v/>
      </c>
      <c r="H23" s="2" t="n">
        <v>6418</v>
      </c>
      <c r="I23" s="4" t="inlineStr">
        <is>
          <t>https://ekt1.com/en/item/6418</t>
        </is>
      </c>
      <c r="J23" s="2" t="inlineStr"/>
    </row>
    <row r="24">
      <c r="A24" s="2" t="inlineStr">
        <is>
          <t>Resistors</t>
        </is>
      </c>
      <c r="B24" s="2" t="inlineStr">
        <is>
          <t>8K2 0.25W</t>
        </is>
      </c>
      <c r="C24" s="2" t="inlineStr">
        <is>
          <t>R54</t>
        </is>
      </c>
      <c r="D24" s="2" t="n">
        <v>1</v>
      </c>
      <c r="E24" s="2" t="n">
        <v>3</v>
      </c>
      <c r="F24" s="3" t="n">
        <v>0.01</v>
      </c>
      <c r="G24" s="3">
        <f>IF(F24="","",E24*F24)</f>
        <v/>
      </c>
      <c r="H24" s="2" t="n">
        <v>6375</v>
      </c>
      <c r="I24" s="4" t="inlineStr">
        <is>
          <t>https://ekt1.com/en/item/6375</t>
        </is>
      </c>
      <c r="J24" s="2" t="inlineStr"/>
    </row>
    <row r="25">
      <c r="A25" s="2" t="inlineStr">
        <is>
          <t>Resistors</t>
        </is>
      </c>
      <c r="B25" s="2" t="inlineStr">
        <is>
          <t>10K 0.25W</t>
        </is>
      </c>
      <c r="C25" s="2" t="inlineStr">
        <is>
          <t>R2 R3 R9 R10 R11 R12 R38 R52</t>
        </is>
      </c>
      <c r="D25" s="2" t="n">
        <v>8</v>
      </c>
      <c r="E25" s="2" t="n">
        <v>10</v>
      </c>
      <c r="F25" s="3" t="n">
        <v>0.01</v>
      </c>
      <c r="G25" s="3">
        <f>IF(F25="","",E25*F25)</f>
        <v/>
      </c>
      <c r="H25" s="2" t="n">
        <v>6410</v>
      </c>
      <c r="I25" s="4" t="inlineStr">
        <is>
          <t>https://ekt1.com/en/item/6410</t>
        </is>
      </c>
      <c r="J25" s="2" t="inlineStr"/>
    </row>
    <row r="26">
      <c r="A26" s="2" t="inlineStr">
        <is>
          <t>Resistors</t>
        </is>
      </c>
      <c r="B26" s="2" t="inlineStr">
        <is>
          <t>12K 0.25W</t>
        </is>
      </c>
      <c r="C26" s="2" t="inlineStr">
        <is>
          <t>R13 R14 R15 R17 R51</t>
        </is>
      </c>
      <c r="D26" s="2" t="n">
        <v>5</v>
      </c>
      <c r="E26" s="2" t="n">
        <v>7</v>
      </c>
      <c r="F26" s="3" t="n">
        <v>0.01</v>
      </c>
      <c r="G26" s="3">
        <f>IF(F26="","",E26*F26)</f>
        <v/>
      </c>
      <c r="H26" s="2" t="n">
        <v>6422</v>
      </c>
      <c r="I26" s="4" t="inlineStr">
        <is>
          <t>https://ekt1.com/en/item/6422</t>
        </is>
      </c>
      <c r="J26" s="2" t="inlineStr">
        <is>
          <t>R51 sets the VCO range</t>
        </is>
      </c>
    </row>
    <row r="27">
      <c r="A27" s="2" t="inlineStr">
        <is>
          <t>Resistors</t>
        </is>
      </c>
      <c r="B27" s="2" t="inlineStr">
        <is>
          <t>15K 0.25W</t>
        </is>
      </c>
      <c r="C27" s="2" t="inlineStr">
        <is>
          <t>R39 R40 R43 R44</t>
        </is>
      </c>
      <c r="D27" s="2" t="n">
        <v>4</v>
      </c>
      <c r="E27" s="2" t="n">
        <v>6</v>
      </c>
      <c r="F27" s="3" t="n">
        <v>0.01</v>
      </c>
      <c r="G27" s="3">
        <f>IF(F27="","",E27*F27)</f>
        <v/>
      </c>
      <c r="H27" s="2" t="n">
        <v>6423</v>
      </c>
      <c r="I27" s="4" t="inlineStr">
        <is>
          <t>https://ekt1.com/en/item/6423</t>
        </is>
      </c>
      <c r="J27" s="2" t="inlineStr"/>
    </row>
    <row r="28">
      <c r="A28" s="2" t="inlineStr">
        <is>
          <t>Resistors</t>
        </is>
      </c>
      <c r="B28" s="2" t="inlineStr">
        <is>
          <t>100K 0.25W</t>
        </is>
      </c>
      <c r="C28" s="2" t="inlineStr">
        <is>
          <t>R4 R6 R19 R20 R21 R22 R23 R24 R25 R26 R27 R28 R30 R45 R48 R49 R50</t>
        </is>
      </c>
      <c r="D28" s="2" t="n">
        <v>17</v>
      </c>
      <c r="E28" s="2" t="n">
        <v>20</v>
      </c>
      <c r="F28" s="3" t="n">
        <v>0.01</v>
      </c>
      <c r="G28" s="3">
        <f>IF(F28="","",E28*F28)</f>
        <v/>
      </c>
      <c r="H28" s="2" t="n">
        <v>6425</v>
      </c>
      <c r="I28" s="4" t="inlineStr">
        <is>
          <t>https://ekt1.com/en/item/6425</t>
        </is>
      </c>
      <c r="J28" s="2" t="inlineStr"/>
    </row>
    <row r="29">
      <c r="A29" s="2" t="inlineStr">
        <is>
          <t>Resistors</t>
        </is>
      </c>
      <c r="B29" s="2" t="inlineStr">
        <is>
          <t>270K 0.25W</t>
        </is>
      </c>
      <c r="C29" s="2" t="inlineStr">
        <is>
          <t>R46</t>
        </is>
      </c>
      <c r="D29" s="2" t="n">
        <v>1</v>
      </c>
      <c r="E29" s="2" t="n">
        <v>3</v>
      </c>
      <c r="F29" s="3" t="n">
        <v>0.01</v>
      </c>
      <c r="G29" s="3">
        <f>IF(F29="","",E29*F29)</f>
        <v/>
      </c>
      <c r="H29" s="2" t="n">
        <v>6353</v>
      </c>
      <c r="I29" s="4" t="inlineStr">
        <is>
          <t>https://ekt1.com/en/item/6353</t>
        </is>
      </c>
      <c r="J29" s="2" t="inlineStr"/>
    </row>
    <row r="30">
      <c r="A30" s="2" t="inlineStr">
        <is>
          <t>Resistors</t>
        </is>
      </c>
      <c r="B30" s="2" t="inlineStr">
        <is>
          <t>330K 0.25W</t>
        </is>
      </c>
      <c r="C30" s="2" t="inlineStr">
        <is>
          <t>R47 in series with 30K</t>
        </is>
      </c>
      <c r="D30" s="2" t="n">
        <v>1</v>
      </c>
      <c r="E30" s="2" t="n">
        <v>3</v>
      </c>
      <c r="F30" s="3" t="n">
        <v>0.01</v>
      </c>
      <c r="G30" s="3">
        <f>IF(F30="","",E30*F30)</f>
        <v/>
      </c>
      <c r="H30" s="2" t="n">
        <v>6352</v>
      </c>
      <c r="I30" s="4" t="inlineStr">
        <is>
          <t>https://ekt1.com/en/item/6352</t>
        </is>
      </c>
      <c r="J30" s="2" t="inlineStr">
        <is>
          <t>330K plus 30K makes 360K</t>
        </is>
      </c>
    </row>
    <row r="31">
      <c r="A31" s="2" t="inlineStr">
        <is>
          <t>Resistors</t>
        </is>
      </c>
      <c r="B31" s="2" t="inlineStr">
        <is>
          <t>30K 0.25W</t>
        </is>
      </c>
      <c r="C31" s="2" t="inlineStr">
        <is>
          <t>R47 in series with 330K</t>
        </is>
      </c>
      <c r="D31" s="2" t="n">
        <v>1</v>
      </c>
      <c r="E31" s="2" t="n">
        <v>3</v>
      </c>
      <c r="F31" s="3" t="n">
        <v>0.01</v>
      </c>
      <c r="G31" s="3">
        <f>IF(F31="","",E31*F31)</f>
        <v/>
      </c>
      <c r="H31" s="2" t="n">
        <v>211576</v>
      </c>
      <c r="I31" s="4" t="inlineStr">
        <is>
          <t>https://ekt1.com/en/item/211576</t>
        </is>
      </c>
      <c r="J31" s="2" t="inlineStr">
        <is>
          <t>EKT has no 360K</t>
        </is>
      </c>
    </row>
    <row r="32">
      <c r="A32" s="2" t="inlineStr">
        <is>
          <t>Capacitors</t>
        </is>
      </c>
      <c r="B32" s="2" t="inlineStr">
        <is>
          <t>100n multilayer ceramic 50V</t>
        </is>
      </c>
      <c r="C32" s="2" t="inlineStr">
        <is>
          <t>C7 C8 C9 C10 C13 C14 C15 C16 C18 C19 C21 C22 C27 C28 C29 C30 C37 C38 C39 C40 C41 C42 C43 C44 C48 C50 C51 C52</t>
        </is>
      </c>
      <c r="D32" s="2" t="n">
        <v>28</v>
      </c>
      <c r="E32" s="2" t="n">
        <v>34</v>
      </c>
      <c r="F32" s="3" t="n">
        <v>0.1</v>
      </c>
      <c r="G32" s="3">
        <f>IF(F32="","",E32*F32)</f>
        <v/>
      </c>
      <c r="H32" s="2" t="n">
        <v>218477</v>
      </c>
      <c r="I32" s="4" t="inlineStr">
        <is>
          <t>https://ekt1.com/en/item/218477</t>
        </is>
      </c>
      <c r="J32" s="2" t="inlineStr"/>
    </row>
    <row r="33">
      <c r="A33" s="2" t="inlineStr">
        <is>
          <t>Capacitors</t>
        </is>
      </c>
      <c r="B33" s="2" t="inlineStr">
        <is>
          <t>1n multilayer ceramic 50V</t>
        </is>
      </c>
      <c r="C33" s="2" t="inlineStr">
        <is>
          <t>C5 C20 C23 C24 C25 C26 C47</t>
        </is>
      </c>
      <c r="D33" s="2" t="n">
        <v>7</v>
      </c>
      <c r="E33" s="2" t="n">
        <v>9</v>
      </c>
      <c r="F33" s="3" t="n">
        <v>0.1</v>
      </c>
      <c r="G33" s="3">
        <f>IF(F33="","",E33*F33)</f>
        <v/>
      </c>
      <c r="H33" s="2" t="n">
        <v>218480</v>
      </c>
      <c r="I33" s="4" t="inlineStr">
        <is>
          <t>https://ekt1.com/en/item/218480</t>
        </is>
      </c>
      <c r="J33" s="2" t="inlineStr">
        <is>
          <t>Also use 1 for C6 with 220p</t>
        </is>
      </c>
    </row>
    <row r="34">
      <c r="A34" s="2" t="inlineStr">
        <is>
          <t>Capacitors</t>
        </is>
      </c>
      <c r="B34" s="2" t="inlineStr">
        <is>
          <t>2.2n ceramic 50V</t>
        </is>
      </c>
      <c r="C34" s="2" t="inlineStr">
        <is>
          <t>C17 C32 C34</t>
        </is>
      </c>
      <c r="D34" s="2" t="n">
        <v>3</v>
      </c>
      <c r="E34" s="2" t="n">
        <v>5</v>
      </c>
      <c r="F34" s="3" t="n">
        <v>0.1</v>
      </c>
      <c r="G34" s="3">
        <f>IF(F34="","",E34*F34)</f>
        <v/>
      </c>
      <c r="H34" s="2" t="n">
        <v>1965</v>
      </c>
      <c r="I34" s="4" t="inlineStr">
        <is>
          <t>https://ekt1.com/en/item/1965</t>
        </is>
      </c>
      <c r="J34" s="2" t="inlineStr"/>
    </row>
    <row r="35">
      <c r="A35" s="2" t="inlineStr">
        <is>
          <t>Capacitors</t>
        </is>
      </c>
      <c r="B35" s="2" t="inlineStr">
        <is>
          <t>3.3n ceramic 50V</t>
        </is>
      </c>
      <c r="C35" s="2" t="inlineStr">
        <is>
          <t>C35</t>
        </is>
      </c>
      <c r="D35" s="2" t="n">
        <v>1</v>
      </c>
      <c r="E35" s="2" t="n">
        <v>3</v>
      </c>
      <c r="F35" s="3" t="n">
        <v>0.1</v>
      </c>
      <c r="G35" s="3">
        <f>IF(F35="","",E35*F35)</f>
        <v/>
      </c>
      <c r="H35" s="2" t="n">
        <v>1966</v>
      </c>
      <c r="I35" s="4" t="inlineStr">
        <is>
          <t>https://ekt1.com/en/item/1966</t>
        </is>
      </c>
      <c r="J35" s="2" t="inlineStr"/>
    </row>
    <row r="36">
      <c r="A36" s="2" t="inlineStr">
        <is>
          <t>Capacitors</t>
        </is>
      </c>
      <c r="B36" s="2" t="inlineStr">
        <is>
          <t>330p ceramic 50V</t>
        </is>
      </c>
      <c r="C36" s="2" t="inlineStr">
        <is>
          <t>C31 C33</t>
        </is>
      </c>
      <c r="D36" s="2" t="n">
        <v>2</v>
      </c>
      <c r="E36" s="2" t="n">
        <v>4</v>
      </c>
      <c r="F36" s="3" t="n">
        <v>0.1</v>
      </c>
      <c r="G36" s="3">
        <f>IF(F36="","",E36*F36)</f>
        <v/>
      </c>
      <c r="H36" s="2" t="n">
        <v>1950</v>
      </c>
      <c r="I36" s="4" t="inlineStr">
        <is>
          <t>https://ekt1.com/en/item/1950</t>
        </is>
      </c>
      <c r="J36" s="2" t="inlineStr"/>
    </row>
    <row r="37">
      <c r="A37" s="2" t="inlineStr">
        <is>
          <t>Capacitors</t>
        </is>
      </c>
      <c r="B37" s="2" t="inlineStr">
        <is>
          <t>220p ceramic 50V</t>
        </is>
      </c>
      <c r="C37" s="2" t="inlineStr">
        <is>
          <t>C36 and C6 in parallel with 1n</t>
        </is>
      </c>
      <c r="D37" s="2" t="n">
        <v>1</v>
      </c>
      <c r="E37" s="2" t="n">
        <v>3</v>
      </c>
      <c r="F37" s="3" t="n">
        <v>0.1</v>
      </c>
      <c r="G37" s="3">
        <f>IF(F37="","",E37*F37)</f>
        <v/>
      </c>
      <c r="H37" s="2" t="n">
        <v>1949</v>
      </c>
      <c r="I37" s="4" t="inlineStr">
        <is>
          <t>https://ekt1.com/en/item/1949</t>
        </is>
      </c>
      <c r="J37" s="2" t="inlineStr">
        <is>
          <t>EKT has no 1.2n. 1n plus 220p makes 1.22n for C6</t>
        </is>
      </c>
    </row>
    <row r="38">
      <c r="A38" s="2" t="inlineStr">
        <is>
          <t>Capacitors</t>
        </is>
      </c>
      <c r="B38" s="2" t="inlineStr">
        <is>
          <t>100p ceramic 50V</t>
        </is>
      </c>
      <c r="C38" s="2" t="inlineStr">
        <is>
          <t>C11 C12</t>
        </is>
      </c>
      <c r="D38" s="2" t="n">
        <v>2</v>
      </c>
      <c r="E38" s="2" t="n">
        <v>4</v>
      </c>
      <c r="F38" s="3" t="n">
        <v>0.1</v>
      </c>
      <c r="G38" s="3">
        <f>IF(F38="","",E38*F38)</f>
        <v/>
      </c>
      <c r="H38" s="2" t="n">
        <v>1948</v>
      </c>
      <c r="I38" s="4" t="inlineStr">
        <is>
          <t>https://ekt1.com/en/item/1948</t>
        </is>
      </c>
      <c r="J38" s="2" t="inlineStr">
        <is>
          <t>Footprint is small. Multilayer 100p (item 218478) may fit better</t>
        </is>
      </c>
    </row>
    <row r="39">
      <c r="A39" s="2" t="inlineStr">
        <is>
          <t>Capacitors</t>
        </is>
      </c>
      <c r="B39" s="2" t="inlineStr">
        <is>
          <t>1u film 105 100V</t>
        </is>
      </c>
      <c r="C39" s="2" t="inlineStr">
        <is>
          <t>C1 C2 C45 C46 C49</t>
        </is>
      </c>
      <c r="D39" s="2" t="n">
        <v>5</v>
      </c>
      <c r="E39" s="2" t="n">
        <v>7</v>
      </c>
      <c r="F39" s="3" t="n">
        <v>0.2</v>
      </c>
      <c r="G39" s="3">
        <f>IF(F39="","",E39*F39)</f>
        <v/>
      </c>
      <c r="H39" s="2" t="n">
        <v>2182</v>
      </c>
      <c r="I39" s="4" t="inlineStr">
        <is>
          <t>https://ekt1.com/en/item/2182</t>
        </is>
      </c>
      <c r="J39" s="2" t="inlineStr">
        <is>
          <t>Measure first. Footprint is 7.2 by 3.5 mm, 5 mm pitch</t>
        </is>
      </c>
    </row>
    <row r="40">
      <c r="A40" s="2" t="inlineStr">
        <is>
          <t>Capacitors</t>
        </is>
      </c>
      <c r="B40" s="2" t="inlineStr">
        <is>
          <t>22u 25V electrolytic</t>
        </is>
      </c>
      <c r="C40" s="2" t="inlineStr">
        <is>
          <t>C3 C4</t>
        </is>
      </c>
      <c r="D40" s="2" t="n">
        <v>2</v>
      </c>
      <c r="E40" s="2" t="n">
        <v>3</v>
      </c>
      <c r="F40" s="3" t="n">
        <v>0.1</v>
      </c>
      <c r="G40" s="3">
        <f>IF(F40="","",E40*F40)</f>
        <v/>
      </c>
      <c r="H40" s="2" t="n">
        <v>2103</v>
      </c>
      <c r="I40" s="4" t="inlineStr">
        <is>
          <t>https://ekt1.com/en/item/2103</t>
        </is>
      </c>
      <c r="J40" s="2" t="inlineStr">
        <is>
          <t>13x5 mm part. Footprint is 8 mm wide, 3.5 mm pitch</t>
        </is>
      </c>
    </row>
    <row r="41">
      <c r="A41" s="2" t="inlineStr">
        <is>
          <t>Connectors</t>
        </is>
      </c>
      <c r="B41" s="2" t="inlineStr">
        <is>
          <t>Screw terminal 5.08 mm 2 pin</t>
        </is>
      </c>
      <c r="C41" s="2" t="inlineStr">
        <is>
          <t>J1 J2</t>
        </is>
      </c>
      <c r="D41" s="2" t="n">
        <v>2</v>
      </c>
      <c r="E41" s="2" t="n">
        <v>3</v>
      </c>
      <c r="F41" s="3" t="n">
        <v>0.08</v>
      </c>
      <c r="G41" s="3">
        <f>IF(F41="","",E41*F41)</f>
        <v/>
      </c>
      <c r="H41" s="2" t="n">
        <v>6530</v>
      </c>
      <c r="I41" s="4" t="inlineStr">
        <is>
          <t>https://ekt1.com/en/item/6530</t>
        </is>
      </c>
      <c r="J41" s="2" t="inlineStr"/>
    </row>
    <row r="42">
      <c r="A42" s="2" t="inlineStr">
        <is>
          <t>Connectors</t>
        </is>
      </c>
      <c r="B42" s="2" t="inlineStr">
        <is>
          <t>Female header strip 10x1</t>
        </is>
      </c>
      <c r="C42" s="2" t="inlineStr">
        <is>
          <t>J3 J4 (2 pieces of 4 pins)</t>
        </is>
      </c>
      <c r="D42" s="2" t="n">
        <v>2</v>
      </c>
      <c r="E42" s="2" t="n">
        <v>2</v>
      </c>
      <c r="F42" s="3" t="n">
        <v>0.3</v>
      </c>
      <c r="G42" s="3">
        <f>IF(F42="","",E42*F42)</f>
        <v/>
      </c>
      <c r="H42" s="2" t="n">
        <v>8332</v>
      </c>
      <c r="I42" s="4" t="inlineStr">
        <is>
          <t>https://ekt1.com/en/item/8332</t>
        </is>
      </c>
      <c r="J42" s="2" t="inlineStr">
        <is>
          <t>Skip if you use the jack modules</t>
        </is>
      </c>
    </row>
    <row r="43">
      <c r="A43" s="2" t="inlineStr">
        <is>
          <t>Connectors</t>
        </is>
      </c>
      <c r="B43" s="2" t="inlineStr">
        <is>
          <t>Male header strip 40x1</t>
        </is>
      </c>
      <c r="C43" s="2" t="inlineStr">
        <is>
          <t>JP1 (3 pins)</t>
        </is>
      </c>
      <c r="D43" s="2" t="n">
        <v>1</v>
      </c>
      <c r="E43" s="2" t="n">
        <v>1</v>
      </c>
      <c r="F43" s="3" t="n">
        <v>0.2</v>
      </c>
      <c r="G43" s="3">
        <f>IF(F43="","",E43*F43)</f>
        <v/>
      </c>
      <c r="H43" s="2" t="n">
        <v>8331</v>
      </c>
      <c r="I43" s="4" t="inlineStr">
        <is>
          <t>https://ekt1.com/en/item/8331</t>
        </is>
      </c>
      <c r="J43" s="2" t="inlineStr"/>
    </row>
    <row r="44">
      <c r="A44" s="2" t="inlineStr">
        <is>
          <t>Connectors</t>
        </is>
      </c>
      <c r="B44" s="2" t="inlineStr">
        <is>
          <t>BNC female PCB mount</t>
        </is>
      </c>
      <c r="C44" s="2" t="inlineStr">
        <is>
          <t>J5</t>
        </is>
      </c>
      <c r="D44" s="2" t="n">
        <v>1</v>
      </c>
      <c r="E44" s="2" t="n">
        <v>2</v>
      </c>
      <c r="F44" s="3" t="n">
        <v>0.5</v>
      </c>
      <c r="G44" s="3">
        <f>IF(F44="","",E44*F44)</f>
        <v/>
      </c>
      <c r="H44" s="2" t="n">
        <v>215259</v>
      </c>
      <c r="I44" s="4" t="inlineStr">
        <is>
          <t>https://ekt1.com/en/item/215259</t>
        </is>
      </c>
      <c r="J44" s="2" t="inlineStr">
        <is>
          <t>Check footprint against your estimate</t>
        </is>
      </c>
    </row>
    <row r="45">
      <c r="A45" s="5" t="inlineStr">
        <is>
          <t>Connectors</t>
        </is>
      </c>
      <c r="B45" s="5" t="inlineStr">
        <is>
          <t>Audio Module Jack 3.5mm</t>
        </is>
      </c>
      <c r="C45" s="5" t="inlineStr">
        <is>
          <t>J3 J4 modules</t>
        </is>
      </c>
      <c r="D45" s="5" t="n">
        <v>4</v>
      </c>
      <c r="E45" s="5" t="n">
        <v>5</v>
      </c>
      <c r="F45" s="6" t="n">
        <v>0.87</v>
      </c>
      <c r="G45" s="6">
        <f>IF(F45="","",E45*F45)</f>
        <v/>
      </c>
      <c r="H45" s="5" t="inlineStr"/>
      <c r="I45" s="5" t="inlineStr"/>
      <c r="J45" s="5" t="inlineStr">
        <is>
          <t>Not found on ekt1.com. Wakilni link in the Notes sheet. Ask EKT</t>
        </is>
      </c>
    </row>
    <row r="46">
      <c r="A46" s="2" t="inlineStr">
        <is>
          <t>Connectors</t>
        </is>
      </c>
      <c r="B46" s="2" t="inlineStr">
        <is>
          <t>Jumper shunt 2.54 mm 2 pin</t>
        </is>
      </c>
      <c r="C46" s="2" t="inlineStr">
        <is>
          <t>JP1</t>
        </is>
      </c>
      <c r="D46" s="2" t="n">
        <v>1</v>
      </c>
      <c r="E46" s="2" t="n">
        <v>2</v>
      </c>
      <c r="F46" s="3" t="n">
        <v>0.1</v>
      </c>
      <c r="G46" s="3">
        <f>IF(F46="","",E46*F46)</f>
        <v/>
      </c>
      <c r="H46" s="2" t="n">
        <v>214104</v>
      </c>
      <c r="I46" s="4" t="inlineStr">
        <is>
          <t>https://ekt1.com/en/item/214104</t>
        </is>
      </c>
      <c r="J46" s="2" t="inlineStr">
        <is>
          <t>Found on ekt1.com</t>
        </is>
      </c>
    </row>
    <row r="48">
      <c r="F48" s="7" t="inlineStr">
        <is>
          <t>Total before VAT</t>
        </is>
      </c>
      <c r="G48" s="8">
        <f>SUM(G2:G46)</f>
        <v/>
      </c>
    </row>
  </sheetData>
  <autoFilter ref="A1:J46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2" r:id="rId20"/>
    <hyperlink xmlns:r="http://schemas.openxmlformats.org/officeDocument/2006/relationships" ref="I23" r:id="rId21"/>
    <hyperlink xmlns:r="http://schemas.openxmlformats.org/officeDocument/2006/relationships" ref="I24" r:id="rId22"/>
    <hyperlink xmlns:r="http://schemas.openxmlformats.org/officeDocument/2006/relationships" ref="I25" r:id="rId23"/>
    <hyperlink xmlns:r="http://schemas.openxmlformats.org/officeDocument/2006/relationships" ref="I26" r:id="rId24"/>
    <hyperlink xmlns:r="http://schemas.openxmlformats.org/officeDocument/2006/relationships" ref="I27" r:id="rId25"/>
    <hyperlink xmlns:r="http://schemas.openxmlformats.org/officeDocument/2006/relationships" ref="I28" r:id="rId26"/>
    <hyperlink xmlns:r="http://schemas.openxmlformats.org/officeDocument/2006/relationships" ref="I29" r:id="rId27"/>
    <hyperlink xmlns:r="http://schemas.openxmlformats.org/officeDocument/2006/relationships" ref="I30" r:id="rId28"/>
    <hyperlink xmlns:r="http://schemas.openxmlformats.org/officeDocument/2006/relationships" ref="I31" r:id="rId29"/>
    <hyperlink xmlns:r="http://schemas.openxmlformats.org/officeDocument/2006/relationships" ref="I32" r:id="rId30"/>
    <hyperlink xmlns:r="http://schemas.openxmlformats.org/officeDocument/2006/relationships" ref="I33" r:id="rId31"/>
    <hyperlink xmlns:r="http://schemas.openxmlformats.org/officeDocument/2006/relationships" ref="I34" r:id="rId32"/>
    <hyperlink xmlns:r="http://schemas.openxmlformats.org/officeDocument/2006/relationships" ref="I35" r:id="rId33"/>
    <hyperlink xmlns:r="http://schemas.openxmlformats.org/officeDocument/2006/relationships" ref="I36" r:id="rId34"/>
    <hyperlink xmlns:r="http://schemas.openxmlformats.org/officeDocument/2006/relationships" ref="I37" r:id="rId35"/>
    <hyperlink xmlns:r="http://schemas.openxmlformats.org/officeDocument/2006/relationships" ref="I38" r:id="rId36"/>
    <hyperlink xmlns:r="http://schemas.openxmlformats.org/officeDocument/2006/relationships" ref="I39" r:id="rId37"/>
    <hyperlink xmlns:r="http://schemas.openxmlformats.org/officeDocument/2006/relationships" ref="I40" r:id="rId38"/>
    <hyperlink xmlns:r="http://schemas.openxmlformats.org/officeDocument/2006/relationships" ref="I41" r:id="rId39"/>
    <hyperlink xmlns:r="http://schemas.openxmlformats.org/officeDocument/2006/relationships" ref="I42" r:id="rId40"/>
    <hyperlink xmlns:r="http://schemas.openxmlformats.org/officeDocument/2006/relationships" ref="I43" r:id="rId41"/>
    <hyperlink xmlns:r="http://schemas.openxmlformats.org/officeDocument/2006/relationships" ref="I44" r:id="rId42"/>
    <hyperlink xmlns:r="http://schemas.openxmlformats.org/officeDocument/2006/relationships" ref="I46" r:id="rId4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Prices come from ekt1.com in October 2026 and exclude VAT.</t>
        </is>
      </c>
    </row>
    <row r="2">
      <c r="A2" t="inlineStr">
        <is>
          <t>Yellow rows are not sold on ekt1.com. Ask EKT or use the substitute.</t>
        </is>
      </c>
    </row>
    <row r="3">
      <c r="A3" t="inlineStr">
        <is>
          <t>Wakilni jack module link https://shop.wakilni.com/product/audio-module-jack-3-5mm-connector/ at $0.87. The page says EKT Katrangi Bros sells it.</t>
        </is>
      </c>
    </row>
    <row r="4">
      <c r="A4" t="inlineStr">
        <is>
          <t>Quantities needed come from the Encoder_gen schematic netlist. Buy quantities add spares.</t>
        </is>
      </c>
    </row>
    <row r="5">
      <c r="A5" t="inlineStr">
        <is>
          <t>Check the 1u film, 22u electrolytic and 100p sizes against the board footprints before you pay.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2026-10-22T12:48:53Z</dcterms:created>
  <dcterms:modified xmlns:dcterms="http://purl.org/dc/terms/" xmlns:xsi="http://www.w3.org/2001/XMLSchema-instance" xsi:type="dcterms:W3CDTF">2026-10-22T12:48:53Z</dcterms:modified>
</cp:coreProperties>
</file>